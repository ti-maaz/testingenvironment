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lient Details" sheetId="1" state="visible" r:id="rId2"/>
    <sheet name="SUMMARY" sheetId="2" state="visible" r:id="rId3"/>
    <sheet name="SoFP" sheetId="3" state="visible" r:id="rId4"/>
    <sheet name="SoCI" sheetId="4" state="visible" r:id="rId5"/>
    <sheet name="SoCE" sheetId="5" state="visible" r:id="rId6"/>
    <sheet name="SoCF" sheetId="6" state="visible" r:id="rId7"/>
    <sheet name="Prepayment" sheetId="7" state="visible" r:id="rId8"/>
    <sheet name="VAT Control" sheetId="8" state="visible" r:id="rId9"/>
    <sheet name="Accruals" sheetId="9" state="visible" r:id="rId10"/>
    <sheet name="Share Capital" sheetId="10" state="visible" r:id="rId11"/>
  </sheets>
  <definedNames>
    <definedName function="false" hidden="false" localSheetId="1" name="_xlnm.Print_Area" vbProcedure="false">SUMMARY!$A$1:$B$14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<sst xmlns="http://schemas.openxmlformats.org/spreadsheetml/2006/main" count="166" uniqueCount="148">
  <si>
    <t xml:space="preserve">Client Name</t>
  </si>
  <si>
    <t xml:space="preserve">Period Start Date</t>
  </si>
  <si>
    <t xml:space="preserve">Period End Date</t>
  </si>
  <si>
    <t xml:space="preserve">Trade License Number</t>
  </si>
  <si>
    <t xml:space="preserve">Freezone</t>
  </si>
  <si>
    <t xml:space="preserve">Mainland</t>
  </si>
  <si>
    <t xml:space="preserve">Company Formation Date</t>
  </si>
  <si>
    <t xml:space="preserve">License Expiry Date</t>
  </si>
  <si>
    <t xml:space="preserve">Business Activities</t>
  </si>
  <si>
    <t xml:space="preserve">Owner Names</t>
  </si>
  <si>
    <t xml:space="preserve">CTR Number</t>
  </si>
  <si>
    <t xml:space="preserve">CT 1st Period</t>
  </si>
  <si>
    <t xml:space="preserve">CT Regular Period</t>
  </si>
  <si>
    <t xml:space="preserve">VAT Registration Number</t>
  </si>
  <si>
    <t xml:space="preserve">VAT Registration Date</t>
  </si>
  <si>
    <t xml:space="preserve">VAT 1st Quarter</t>
  </si>
  <si>
    <t xml:space="preserve">Format</t>
  </si>
  <si>
    <t xml:space="preserve">Font</t>
  </si>
  <si>
    <t xml:space="preserve">Aptos</t>
  </si>
  <si>
    <t xml:space="preserve">Font Size</t>
  </si>
  <si>
    <t xml:space="preserve">Summary</t>
  </si>
  <si>
    <t xml:space="preserve">Description</t>
  </si>
  <si>
    <t xml:space="preserve">Amount (AED)</t>
  </si>
  <si>
    <t xml:space="preserve">Total Revenue</t>
  </si>
  <si>
    <t xml:space="preserve">Total Expenses (Excluding Director Salary)</t>
  </si>
  <si>
    <t xml:space="preserve">Director Salary</t>
  </si>
  <si>
    <t xml:space="preserve">Total Assets</t>
  </si>
  <si>
    <t xml:space="preserve">Total Liabilities</t>
  </si>
  <si>
    <t xml:space="preserve">Total Equity</t>
  </si>
  <si>
    <t xml:space="preserve">Related Party Revenue</t>
  </si>
  <si>
    <t xml:space="preserve">Related Party Loan</t>
  </si>
  <si>
    <t xml:space="preserve">Interest Income </t>
  </si>
  <si>
    <t xml:space="preserve">Dividend Income</t>
  </si>
  <si>
    <t xml:space="preserve">Statement of Financial Position</t>
  </si>
  <si>
    <t xml:space="preserve">Assets:</t>
  </si>
  <si>
    <t xml:space="preserve">Non-current assets</t>
  </si>
  <si>
    <t xml:space="preserve">Property, plant and equipment</t>
  </si>
  <si>
    <t xml:space="preserve">Total non-current assets</t>
  </si>
  <si>
    <t xml:space="preserve">Current assets</t>
  </si>
  <si>
    <t xml:space="preserve">Accounts receivable</t>
  </si>
  <si>
    <t xml:space="preserve">Prepayment</t>
  </si>
  <si>
    <t xml:space="preserve">VAT recoverable</t>
  </si>
  <si>
    <t xml:space="preserve">Cash and bank balances</t>
  </si>
  <si>
    <t xml:space="preserve">Total current assets</t>
  </si>
  <si>
    <t xml:space="preserve">Total assets</t>
  </si>
  <si>
    <t xml:space="preserve">Equity and Liabilities:</t>
  </si>
  <si>
    <t xml:space="preserve">Equity</t>
  </si>
  <si>
    <t xml:space="preserve">Share capital</t>
  </si>
  <si>
    <t xml:space="preserve">Retained earnings</t>
  </si>
  <si>
    <t xml:space="preserve">Owner current account</t>
  </si>
  <si>
    <t xml:space="preserve">Non-current liabilities</t>
  </si>
  <si>
    <t xml:space="preserve">Long-term loans</t>
  </si>
  <si>
    <t xml:space="preserve">Current liabilities</t>
  </si>
  <si>
    <t xml:space="preserve">Audit and accounting accrual</t>
  </si>
  <si>
    <t xml:space="preserve">VAT payable</t>
  </si>
  <si>
    <t xml:space="preserve">Total Equity and Liabilities</t>
  </si>
  <si>
    <t xml:space="preserve">Statement of Profit and Loss</t>
  </si>
  <si>
    <t xml:space="preserve">Revenue</t>
  </si>
  <si>
    <t xml:space="preserve">Revenue - related party</t>
  </si>
  <si>
    <t xml:space="preserve">Direct cost</t>
  </si>
  <si>
    <t xml:space="preserve">Gross profit</t>
  </si>
  <si>
    <t xml:space="preserve">Operating expenses</t>
  </si>
  <si>
    <t xml:space="preserve">Director salary</t>
  </si>
  <si>
    <t xml:space="preserve">Salaries, wages and benefits</t>
  </si>
  <si>
    <t xml:space="preserve">Advertising</t>
  </si>
  <si>
    <t xml:space="preserve">Audit and accounting</t>
  </si>
  <si>
    <t xml:space="preserve">Bank charges</t>
  </si>
  <si>
    <t xml:space="preserve">Exchange loss</t>
  </si>
  <si>
    <t xml:space="preserve">Total operating expenses</t>
  </si>
  <si>
    <t xml:space="preserve">Other income</t>
  </si>
  <si>
    <t xml:space="preserve">Net profit </t>
  </si>
  <si>
    <t xml:space="preserve">Non-deductible expenses</t>
  </si>
  <si>
    <t xml:space="preserve">Entertainment</t>
  </si>
  <si>
    <t xml:space="preserve">Fines and penalties</t>
  </si>
  <si>
    <t xml:space="preserve">Statement of Changes in Equity</t>
  </si>
  <si>
    <t xml:space="preserve">Owner's current account</t>
  </si>
  <si>
    <t xml:space="preserve">Statutory reserve</t>
  </si>
  <si>
    <t xml:space="preserve">Total</t>
  </si>
  <si>
    <t xml:space="preserve">Balance as at 00 Month 0000</t>
  </si>
  <si>
    <t xml:space="preserve">Paid up capital</t>
  </si>
  <si>
    <t xml:space="preserve">Net movement in owner's current account</t>
  </si>
  <si>
    <t xml:space="preserve">Net profit / (loss)</t>
  </si>
  <si>
    <t xml:space="preserve">Transfer to statutory reserve</t>
  </si>
  <si>
    <t xml:space="preserve">Statutory reserves</t>
  </si>
  <si>
    <t xml:space="preserve">Statement of Cash flows</t>
  </si>
  <si>
    <t xml:space="preserve">Cash flows from operating activities</t>
  </si>
  <si>
    <t xml:space="preserve">Net profit for the year</t>
  </si>
  <si>
    <t xml:space="preserve">Operating cash flows before changes in working capital</t>
  </si>
  <si>
    <t xml:space="preserve">Changes in working capital</t>
  </si>
  <si>
    <t xml:space="preserve">(Increase) / decrease in current assets</t>
  </si>
  <si>
    <t xml:space="preserve">Increase / (decrease) in current liabilities</t>
  </si>
  <si>
    <t xml:space="preserve">Net cash generated from operations</t>
  </si>
  <si>
    <t xml:space="preserve">Cash flows from investing activities</t>
  </si>
  <si>
    <t xml:space="preserve">Net cash generated from investing activities</t>
  </si>
  <si>
    <t xml:space="preserve">Cash flows from financing activities</t>
  </si>
  <si>
    <t xml:space="preserve">Net cash generated from financing activities</t>
  </si>
  <si>
    <t xml:space="preserve">Net increase in cash and cash equivalents</t>
  </si>
  <si>
    <t xml:space="preserve">Cash and cash equivalents, beginning of the period</t>
  </si>
  <si>
    <t xml:space="preserve">Cash and cash equivalents, end of the period</t>
  </si>
  <si>
    <t xml:space="preserve">Renewed in Current Period</t>
  </si>
  <si>
    <t xml:space="preserve">License</t>
  </si>
  <si>
    <t xml:space="preserve">Total Amount (AED)</t>
  </si>
  <si>
    <t xml:space="preserve">Date of Issuance</t>
  </si>
  <si>
    <t xml:space="preserve">Date of Expiry</t>
  </si>
  <si>
    <t xml:space="preserve">Total Days</t>
  </si>
  <si>
    <t xml:space="preserve">Cost Per Day</t>
  </si>
  <si>
    <t xml:space="preserve">Date of bookkeeping</t>
  </si>
  <si>
    <t xml:space="preserve">Days Expired </t>
  </si>
  <si>
    <t xml:space="preserve">Expense</t>
  </si>
  <si>
    <t xml:space="preserve">Pre-Payment</t>
  </si>
  <si>
    <t xml:space="preserve">Invoice Details for aforementioned working</t>
  </si>
  <si>
    <t xml:space="preserve">Inv. Date</t>
  </si>
  <si>
    <t xml:space="preserve">Inv No</t>
  </si>
  <si>
    <t xml:space="preserve">Gross</t>
  </si>
  <si>
    <t xml:space="preserve">VAT</t>
  </si>
  <si>
    <t xml:space="preserve">Net</t>
  </si>
  <si>
    <t xml:space="preserve">Quantity</t>
  </si>
  <si>
    <t xml:space="preserve">Rate</t>
  </si>
  <si>
    <t xml:space="preserve">Taxable Amount</t>
  </si>
  <si>
    <t xml:space="preserve">Tax</t>
  </si>
  <si>
    <t xml:space="preserve">Amount</t>
  </si>
  <si>
    <t xml:space="preserve">VAT Control</t>
  </si>
  <si>
    <t xml:space="preserve">Dr.</t>
  </si>
  <si>
    <t xml:space="preserve">Cr.</t>
  </si>
  <si>
    <t xml:space="preserve">Balance b/f </t>
  </si>
  <si>
    <t xml:space="preserve">Output VAT </t>
  </si>
  <si>
    <t xml:space="preserve">Output VAT on uninvoiced sales</t>
  </si>
  <si>
    <t xml:space="preserve">Input VAT on service invoice</t>
  </si>
  <si>
    <t xml:space="preserve">Balance c/d</t>
  </si>
  <si>
    <t xml:space="preserve">VAT reconciliation</t>
  </si>
  <si>
    <t xml:space="preserve">VAT liability</t>
  </si>
  <si>
    <t xml:space="preserve">Less: VAT adjustments </t>
  </si>
  <si>
    <t xml:space="preserve">B/fwd</t>
  </si>
  <si>
    <t xml:space="preserve">CY</t>
  </si>
  <si>
    <t xml:space="preserve">VAT Summary</t>
  </si>
  <si>
    <t xml:space="preserve">Output VAT</t>
  </si>
  <si>
    <t xml:space="preserve">Input VAT</t>
  </si>
  <si>
    <t xml:space="preserve">VAT Liability</t>
  </si>
  <si>
    <t xml:space="preserve">Paid/(Received)</t>
  </si>
  <si>
    <t xml:space="preserve">O/S</t>
  </si>
  <si>
    <t xml:space="preserve">Accruals</t>
  </si>
  <si>
    <t xml:space="preserve">B/F</t>
  </si>
  <si>
    <t xml:space="preserve">C/F</t>
  </si>
  <si>
    <t xml:space="preserve">Share Capital</t>
  </si>
  <si>
    <t xml:space="preserve">Owner Name</t>
  </si>
  <si>
    <t xml:space="preserve">No. of Shares</t>
  </si>
  <si>
    <t xml:space="preserve">Value per Share (AED)</t>
  </si>
  <si>
    <t xml:space="preserve">Total Share Value (AED)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</si>
</sst>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0%"/>
    <numFmt numFmtId="167" formatCode="[$-409]d\-mmm\-yyyy;@"/>
    <numFmt numFmtId="168" formatCode="d\-mmm\-yy"/>
    <numFmt numFmtId="169" formatCode="General"/>
    <numFmt numFmtId="170" formatCode="_(* #,##0_);_(* \(#,##0\);_(* \-??_);_(@_)"/>
    <numFmt numFmtId="171" formatCode="0"/>
    <numFmt numFmtId="172" formatCode="_-* #,##0.00_-;\-* #,##0.00_-;_-* \-??_-;_-@_-"/>
    <numFmt numFmtId="173" formatCode="0.00"/>
    <numFmt numFmtId="174" formatCode="m/d/yyyy"/>
    <numFmt numFmtId="175" formatCode="_-* #,##0_-;\-* #,##0_-;_-* \-??_-;_-@_-"/>
  </numFmts>
  <fonts count="17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name val="Arial"/>
      <family val="1"/>
      <charset val="1"/>
    </font>
    <font>
      <sz val="9"/>
      <color rgb="FF000000"/>
      <name val="Arial"/>
      <family val="2"/>
      <charset val="1"/>
    </font>
    <font>
      <sz val="12"/>
      <color rgb="FF000000"/>
      <name val="Aptos Narrow"/>
      <family val="2"/>
      <charset val="1"/>
    </font>
    <font>
      <sz val="12"/>
      <color rgb="FF000000"/>
      <name val="Aptos"/>
      <family val="2"/>
      <charset val="1"/>
    </font>
    <font>
      <b val="true"/>
      <sz val="12"/>
      <color rgb="FF000000"/>
      <name val="Aptos"/>
      <family val="2"/>
      <charset val="1"/>
    </font>
    <font>
      <b val="true"/>
      <u val="single"/>
      <sz val="12"/>
      <color rgb="FF000000"/>
      <name val="Aptos"/>
      <family val="2"/>
      <charset val="1"/>
    </font>
    <font>
      <b val="true"/>
      <sz val="12"/>
      <color rgb="FFFFFFFF"/>
      <name val="Aptos"/>
      <family val="2"/>
      <charset val="1"/>
    </font>
    <font>
      <b val="true"/>
      <sz val="12"/>
      <name val="Aptos"/>
      <family val="2"/>
      <charset val="1"/>
    </font>
    <font>
      <b val="true"/>
      <i val="true"/>
      <sz val="12"/>
      <color rgb="FF000000"/>
      <name val="Aptos"/>
      <family val="2"/>
      <charset val="1"/>
    </font>
    <font>
      <sz val="12"/>
      <name val="Aptos"/>
      <family val="2"/>
      <charset val="1"/>
    </font>
    <font>
      <b val="true"/>
      <u val="single"/>
      <sz val="12"/>
      <name val="Aptos"/>
      <family val="2"/>
      <charset val="1"/>
    </font>
    <font>
      <u val="single"/>
      <sz val="12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</borders>
  <cellStyleXfs count="6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0" borderId="4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0" borderId="6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8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5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5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5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5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5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9" fillId="0" borderId="0" xfId="15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3" fillId="0" borderId="0" xfId="5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5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9" fillId="0" borderId="7" xfId="15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0" fontId="8" fillId="0" borderId="0" xfId="15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70" fontId="8" fillId="0" borderId="0" xfId="5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5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7" xfId="15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70" fontId="9" fillId="0" borderId="8" xfId="15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70" fontId="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4" fillId="0" borderId="0" xfId="15" applyFont="true" applyBorder="false" applyAlignment="true" applyProtection="false">
      <alignment horizontal="right" vertical="center" textRotation="0" wrapText="false" indent="2" shrinkToFit="false"/>
      <protection locked="true" hidden="false"/>
    </xf>
    <xf numFmtId="170" fontId="9" fillId="0" borderId="7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9" fillId="0" borderId="9" xfId="15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8" fillId="0" borderId="0" xfId="52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8" fillId="0" borderId="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5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5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8" fillId="0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6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6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6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6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6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12" xfId="6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6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12" xfId="6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2" xfId="6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2" xfId="6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2" xfId="6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3" xfId="6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4" xfId="6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63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15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1" fillId="0" borderId="0" xfId="3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63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9" fillId="0" borderId="0" xfId="6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1" fontId="8" fillId="0" borderId="0" xfId="49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63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15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6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8" fillId="0" borderId="0" xfId="6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6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4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2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8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8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5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5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8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6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4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9" xfId="63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5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11 2" xfId="20"/>
    <cellStyle name="Comma 11 2 2" xfId="21"/>
    <cellStyle name="Comma 11 2 3" xfId="22"/>
    <cellStyle name="Comma 11 2 4" xfId="23"/>
    <cellStyle name="Comma 11 2 5" xfId="24"/>
    <cellStyle name="Comma 15" xfId="25"/>
    <cellStyle name="Comma 15 2" xfId="26"/>
    <cellStyle name="Comma 15 3" xfId="27"/>
    <cellStyle name="Comma 15 4" xfId="28"/>
    <cellStyle name="Comma 15 5" xfId="29"/>
    <cellStyle name="Comma 2" xfId="30"/>
    <cellStyle name="Comma 2 2" xfId="31"/>
    <cellStyle name="Comma 2 2 2" xfId="32"/>
    <cellStyle name="Comma 2 2 2 2" xfId="33"/>
    <cellStyle name="Comma 2 2 2 3" xfId="34"/>
    <cellStyle name="Comma 2 2 2 4" xfId="35"/>
    <cellStyle name="Comma 2 2 3" xfId="36"/>
    <cellStyle name="Comma 2 2 4" xfId="37"/>
    <cellStyle name="Comma 2 2 5" xfId="38"/>
    <cellStyle name="Comma 2 2 6" xfId="39"/>
    <cellStyle name="Comma 2 3" xfId="40"/>
    <cellStyle name="Comma 2 3 2" xfId="41"/>
    <cellStyle name="Comma 2 3 3" xfId="42"/>
    <cellStyle name="Comma 2 3 4" xfId="43"/>
    <cellStyle name="Comma 2 4" xfId="44"/>
    <cellStyle name="Comma 2 5" xfId="45"/>
    <cellStyle name="Comma 3" xfId="46"/>
    <cellStyle name="Comma 3 2" xfId="47"/>
    <cellStyle name="Comma 3 3" xfId="48"/>
    <cellStyle name="Comma 4" xfId="49"/>
    <cellStyle name="Comma 4 2" xfId="50"/>
    <cellStyle name="Comma 5" xfId="51"/>
    <cellStyle name="Normal 2" xfId="52"/>
    <cellStyle name="Normal 2 2" xfId="53"/>
    <cellStyle name="Normal 2 2 2" xfId="54"/>
    <cellStyle name="Normal 2 2 3" xfId="55"/>
    <cellStyle name="Normal 2 2 4" xfId="56"/>
    <cellStyle name="Normal 2 2 5" xfId="57"/>
    <cellStyle name="Normal 2 3" xfId="58"/>
    <cellStyle name="Normal 2 4" xfId="59"/>
    <cellStyle name="Normal 3" xfId="60"/>
    <cellStyle name="Normal 3 2" xfId="61"/>
    <cellStyle name="Normal 3 2 2" xfId="62"/>
    <cellStyle name="Normal 4" xfId="63"/>
    <cellStyle name="Normal 4 2" xfId="64"/>
    <cellStyle name="Normal 5" xfId="65"/>
    <cellStyle name="Percent 2" xfId="66"/>
    <cellStyle name="Percent 2 2" xfId="67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4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78125" defaultRowHeight="15" zeroHeight="false" outlineLevelRow="0" outlineLevelCol="0"/>
  <cols>
    <col collapsed="false" customWidth="true" hidden="false" outlineLevel="0" max="1" min="1" style="1" width="27.21"/>
    <col collapsed="false" customWidth="true" hidden="false" outlineLevel="0" max="2" min="2" style="2" width="13.89"/>
    <col collapsed="false" customWidth="false" hidden="false" outlineLevel="0" max="1024" min="3" style="1" width="8.78"/>
  </cols>
  <sheetData>
    <row r="4" customFormat="false" ht="15" hidden="false" customHeight="true" outlineLevel="0" collapsed="false">
      <c r="A4" s="3" t="s">
        <v>0</v>
      </c>
    </row>
    <row r="5" customFormat="false" ht="15" hidden="false" customHeight="true" outlineLevel="0" collapsed="false">
      <c r="A5" s="3" t="s">
        <v>1</v>
      </c>
      <c r="B5" s="4"/>
    </row>
    <row r="6" customFormat="false" ht="15" hidden="false" customHeight="true" outlineLevel="0" collapsed="false">
      <c r="A6" s="3" t="s">
        <v>2</v>
      </c>
      <c r="B6" s="4"/>
    </row>
    <row r="8" customFormat="false" ht="15" hidden="false" customHeight="true" outlineLevel="0" collapsed="false">
      <c r="A8" s="3" t="s">
        <v>3</v>
      </c>
    </row>
    <row r="9" customFormat="false" ht="15" hidden="false" customHeight="true" outlineLevel="0" collapsed="false">
      <c r="A9" s="3" t="s">
        <v>4</v>
      </c>
    </row>
    <row r="10" customFormat="false" ht="15" hidden="false" customHeight="true" outlineLevel="0" collapsed="false">
      <c r="A10" s="3" t="s">
        <v>5</v>
      </c>
    </row>
    <row r="11" customFormat="false" ht="15" hidden="false" customHeight="true" outlineLevel="0" collapsed="false">
      <c r="A11" s="3" t="s">
        <v>6</v>
      </c>
      <c r="B11" s="5"/>
    </row>
    <row r="12" customFormat="false" ht="15" hidden="false" customHeight="true" outlineLevel="0" collapsed="false">
      <c r="A12" s="3" t="s">
        <v>7</v>
      </c>
      <c r="B12" s="5"/>
    </row>
    <row r="13" customFormat="false" ht="15" hidden="false" customHeight="true" outlineLevel="0" collapsed="false">
      <c r="A13" s="3" t="s">
        <v>8</v>
      </c>
    </row>
    <row r="14" customFormat="false" ht="15" hidden="false" customHeight="true" outlineLevel="0" collapsed="false">
      <c r="A14" s="3" t="s">
        <v>9</v>
      </c>
    </row>
    <row r="16" customFormat="false" ht="15" hidden="false" customHeight="true" outlineLevel="0" collapsed="false">
      <c r="A16" s="3" t="s">
        <v>10</v>
      </c>
    </row>
    <row r="17" customFormat="false" ht="15" hidden="false" customHeight="true" outlineLevel="0" collapsed="false">
      <c r="A17" s="3" t="s">
        <v>11</v>
      </c>
    </row>
    <row r="18" customFormat="false" ht="15" hidden="false" customHeight="true" outlineLevel="0" collapsed="false">
      <c r="A18" s="3" t="s">
        <v>12</v>
      </c>
    </row>
    <row r="20" customFormat="false" ht="15" hidden="false" customHeight="true" outlineLevel="0" collapsed="false">
      <c r="A20" s="3" t="s">
        <v>13</v>
      </c>
    </row>
    <row r="21" customFormat="false" ht="15" hidden="false" customHeight="true" outlineLevel="0" collapsed="false">
      <c r="A21" s="3" t="s">
        <v>14</v>
      </c>
    </row>
    <row r="22" customFormat="false" ht="15" hidden="false" customHeight="true" outlineLevel="0" collapsed="false">
      <c r="A22" s="3" t="s">
        <v>15</v>
      </c>
    </row>
    <row r="25" customFormat="false" ht="15" hidden="false" customHeight="true" outlineLevel="0" collapsed="false">
      <c r="A25" s="6" t="s">
        <v>16</v>
      </c>
    </row>
    <row r="26" customFormat="false" ht="15" hidden="false" customHeight="true" outlineLevel="0" collapsed="false">
      <c r="A26" s="1" t="s">
        <v>17</v>
      </c>
      <c r="B26" s="2" t="s">
        <v>18</v>
      </c>
    </row>
    <row r="27" customFormat="false" ht="15" hidden="false" customHeight="true" outlineLevel="0" collapsed="false">
      <c r="A27" s="1" t="s">
        <v>19</v>
      </c>
      <c r="B27" s="2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78125" defaultRowHeight="15" zeroHeight="false" outlineLevelRow="0" outlineLevelCol="0"/>
  <cols>
    <col collapsed="false" customWidth="true" hidden="false" outlineLevel="0" max="1" min="1" style="7" width="44"/>
    <col collapsed="false" customWidth="true" hidden="false" outlineLevel="0" max="2" min="2" style="7" width="21.11"/>
    <col collapsed="false" customWidth="false" hidden="false" outlineLevel="0" max="1024" min="3" style="7" width="8.78"/>
  </cols>
  <sheetData>
    <row r="1" customFormat="false" ht="15" hidden="false" customHeight="true" outlineLevel="0" collapsed="false">
      <c r="A1" s="8" t="n">
        <f aca="false">+'Client Details'!B4</f>
        <v>0</v>
      </c>
    </row>
    <row r="2" customFormat="false" ht="15" hidden="false" customHeight="true" outlineLevel="0" collapsed="false">
      <c r="A2" s="9" t="s">
        <v>20</v>
      </c>
    </row>
    <row r="3" customFormat="false" ht="15" hidden="false" customHeight="true" outlineLevel="0" collapsed="false">
      <c r="A3" s="8"/>
    </row>
    <row r="4" customFormat="false" ht="15" hidden="false" customHeight="true" outlineLevel="0" collapsed="false">
      <c r="A4" s="8" t="str">
        <f aca="false">TEXT('Client Details'!B5,"DD mmmm YYYY") &amp; " - " &amp; TEXT('Client Details'!B6,"DD mmmm YYYY")</f>
        <v>30 December 1899 - 30 December 1899</v>
      </c>
    </row>
    <row r="6" customFormat="false" ht="30" hidden="false" customHeight="true" outlineLevel="0" collapsed="false">
      <c r="A6" s="10" t="s">
        <v>21</v>
      </c>
      <c r="B6" s="11" t="s">
        <v>22</v>
      </c>
    </row>
    <row r="7" customFormat="false" ht="19.5" hidden="false" customHeight="true" outlineLevel="0" collapsed="false">
      <c r="A7" s="12" t="s">
        <v>23</v>
      </c>
      <c r="B7" s="13" t="n">
        <f aca="false">SoCI!B8</f>
        <v>0</v>
      </c>
      <c r="E7" s="14"/>
    </row>
    <row r="8" customFormat="false" ht="19.5" hidden="false" customHeight="true" outlineLevel="0" collapsed="false">
      <c r="A8" s="12" t="s">
        <v>24</v>
      </c>
      <c r="B8" s="13"/>
    </row>
    <row r="9" customFormat="false" ht="19.5" hidden="false" customHeight="true" outlineLevel="0" collapsed="false">
      <c r="A9" s="12" t="s">
        <v>25</v>
      </c>
      <c r="B9" s="13" t="n">
        <f aca="false">SoCI!B16</f>
        <v>0</v>
      </c>
    </row>
    <row r="10" customFormat="false" ht="19.5" hidden="false" customHeight="true" outlineLevel="0" collapsed="false">
      <c r="A10" s="12" t="str">
        <f aca="false">IF(B10&gt;0,"Profit","Loss")</f>
        <v>Loss</v>
      </c>
      <c r="B10" s="13" t="n">
        <f aca="false">SoCI!B31</f>
        <v>0</v>
      </c>
    </row>
    <row r="11" customFormat="false" ht="19.5" hidden="false" customHeight="true" outlineLevel="0" collapsed="false">
      <c r="A11" s="12" t="s">
        <v>26</v>
      </c>
      <c r="B11" s="13" t="n">
        <f aca="false">SoFP!B17</f>
        <v>0</v>
      </c>
    </row>
    <row r="12" customFormat="false" ht="19.5" hidden="false" customHeight="true" outlineLevel="0" collapsed="false">
      <c r="A12" s="12" t="s">
        <v>27</v>
      </c>
      <c r="B12" s="13" t="n">
        <f aca="false">SoFP!B30</f>
        <v>0</v>
      </c>
    </row>
    <row r="13" customFormat="false" ht="19.5" hidden="false" customHeight="true" outlineLevel="0" collapsed="false">
      <c r="A13" s="15" t="s">
        <v>28</v>
      </c>
      <c r="B13" s="16" t="n">
        <f aca="false">SoFP!B24</f>
        <v>0</v>
      </c>
    </row>
    <row r="15" customFormat="false" ht="15" hidden="false" customHeight="true" outlineLevel="0" collapsed="false">
      <c r="A15" s="17" t="s">
        <v>29</v>
      </c>
      <c r="B15" s="18" t="n">
        <f aca="false">SoCI!B9</f>
        <v>0</v>
      </c>
    </row>
    <row r="16" customFormat="false" ht="15" hidden="false" customHeight="true" outlineLevel="0" collapsed="false">
      <c r="A16" s="17" t="s">
        <v>30</v>
      </c>
      <c r="B16" s="18"/>
    </row>
    <row r="17" customFormat="false" ht="15" hidden="false" customHeight="true" outlineLevel="0" collapsed="false">
      <c r="A17" s="17" t="s">
        <v>31</v>
      </c>
      <c r="B17" s="18"/>
    </row>
    <row r="18" customFormat="false" ht="15" hidden="false" customHeight="true" outlineLevel="0" collapsed="false">
      <c r="A18" s="17" t="s">
        <v>32</v>
      </c>
      <c r="B18" s="18"/>
    </row>
  </sheetData>
  <printOptions headings="false" gridLines="false" gridLinesSet="true" horizontalCentered="true" verticalCentered="false"/>
  <pageMargins left="1" right="0.5" top="1.25" bottom="0.75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1" activeCellId="0" sqref="M21"/>
    </sheetView>
  </sheetViews>
  <sheetFormatPr defaultColWidth="8.78125" defaultRowHeight="15" zeroHeight="false" outlineLevelRow="0" outlineLevelCol="0"/>
  <cols>
    <col collapsed="false" customWidth="true" hidden="false" outlineLevel="0" max="1" min="1" style="19" width="40.78"/>
    <col collapsed="false" customWidth="true" hidden="false" outlineLevel="0" max="3" min="2" style="20" width="17.77"/>
    <col collapsed="false" customWidth="false" hidden="false" outlineLevel="0" max="1024" min="4" style="19" width="8.78"/>
  </cols>
  <sheetData>
    <row r="1" customFormat="false" ht="15" hidden="false" customHeight="true" outlineLevel="0" collapsed="false">
      <c r="A1" s="21" t="n">
        <f aca="false">+'Client Details'!B4</f>
        <v>0</v>
      </c>
      <c r="B1" s="22"/>
    </row>
    <row r="2" customFormat="false" ht="15" hidden="false" customHeight="true" outlineLevel="0" collapsed="false">
      <c r="A2" s="23" t="s">
        <v>33</v>
      </c>
    </row>
    <row r="3" customFormat="false" ht="15" hidden="false" customHeight="true" outlineLevel="0" collapsed="false">
      <c r="A3" s="23"/>
    </row>
    <row r="4" customFormat="false" ht="15" hidden="false" customHeight="true" outlineLevel="0" collapsed="false">
      <c r="A4" s="21" t="str">
        <f aca="false">"As at " &amp; TEXT('Client Details'!B6,"DD mmmm YYYY")</f>
        <v>As at 30 December 1899</v>
      </c>
    </row>
    <row r="6" customFormat="false" ht="19.5" hidden="false" customHeight="true" outlineLevel="0" collapsed="false">
      <c r="A6" s="24"/>
      <c r="B6" s="25" t="str">
        <f aca="false">TEXT('Client Details'!B6,"YYYY")</f>
        <v>1899</v>
      </c>
      <c r="C6" s="25" t="n">
        <f aca="false">B6-1</f>
        <v>1898</v>
      </c>
    </row>
    <row r="7" customFormat="false" ht="15" hidden="false" customHeight="true" outlineLevel="0" collapsed="false">
      <c r="A7" s="26" t="s">
        <v>34</v>
      </c>
      <c r="B7" s="27"/>
      <c r="C7" s="27"/>
    </row>
    <row r="8" customFormat="false" ht="15" hidden="false" customHeight="true" outlineLevel="0" collapsed="false">
      <c r="A8" s="28" t="s">
        <v>35</v>
      </c>
      <c r="B8" s="27"/>
      <c r="C8" s="27"/>
    </row>
    <row r="9" customFormat="false" ht="15" hidden="false" customHeight="true" outlineLevel="0" collapsed="false">
      <c r="A9" s="29" t="s">
        <v>36</v>
      </c>
      <c r="B9" s="27"/>
      <c r="C9" s="27"/>
    </row>
    <row r="10" customFormat="false" ht="15" hidden="false" customHeight="true" outlineLevel="0" collapsed="false">
      <c r="A10" s="28" t="s">
        <v>37</v>
      </c>
      <c r="B10" s="30" t="n">
        <f aca="false">SUM(B8:B9)</f>
        <v>0</v>
      </c>
      <c r="C10" s="30" t="n">
        <f aca="false">SUM(C8:C9)</f>
        <v>0</v>
      </c>
    </row>
    <row r="11" customFormat="false" ht="15" hidden="false" customHeight="true" outlineLevel="0" collapsed="false">
      <c r="A11" s="28" t="s">
        <v>38</v>
      </c>
      <c r="B11" s="31"/>
      <c r="C11" s="31"/>
    </row>
    <row r="12" customFormat="false" ht="15" hidden="false" customHeight="true" outlineLevel="0" collapsed="false">
      <c r="A12" s="29" t="s">
        <v>39</v>
      </c>
      <c r="B12" s="31"/>
      <c r="C12" s="31"/>
    </row>
    <row r="13" customFormat="false" ht="15" hidden="false" customHeight="true" outlineLevel="0" collapsed="false">
      <c r="A13" s="2" t="s">
        <v>40</v>
      </c>
      <c r="B13" s="31"/>
      <c r="C13" s="31"/>
    </row>
    <row r="14" customFormat="false" ht="15" hidden="false" customHeight="true" outlineLevel="0" collapsed="false">
      <c r="A14" s="29" t="s">
        <v>41</v>
      </c>
      <c r="B14" s="31"/>
      <c r="C14" s="31"/>
      <c r="D14" s="32"/>
    </row>
    <row r="15" customFormat="false" ht="15" hidden="false" customHeight="true" outlineLevel="0" collapsed="false">
      <c r="A15" s="29" t="s">
        <v>42</v>
      </c>
      <c r="B15" s="31"/>
      <c r="C15" s="31"/>
      <c r="D15" s="33"/>
    </row>
    <row r="16" customFormat="false" ht="15" hidden="false" customHeight="true" outlineLevel="0" collapsed="false">
      <c r="A16" s="28" t="s">
        <v>43</v>
      </c>
      <c r="B16" s="34" t="n">
        <f aca="false">SUM(B11:B15)</f>
        <v>0</v>
      </c>
      <c r="C16" s="34" t="n">
        <f aca="false">SUM(C11:C15)</f>
        <v>0</v>
      </c>
      <c r="D16" s="33"/>
    </row>
    <row r="17" customFormat="false" ht="15" hidden="false" customHeight="true" outlineLevel="0" collapsed="false">
      <c r="A17" s="26" t="s">
        <v>44</v>
      </c>
      <c r="B17" s="35" t="n">
        <f aca="false">B16+B10</f>
        <v>0</v>
      </c>
      <c r="C17" s="35" t="n">
        <f aca="false">C16+C10</f>
        <v>0</v>
      </c>
      <c r="G17" s="2"/>
    </row>
    <row r="18" customFormat="false" ht="15" hidden="false" customHeight="true" outlineLevel="0" collapsed="false">
      <c r="A18" s="29"/>
      <c r="B18" s="36"/>
      <c r="C18" s="36"/>
      <c r="G18" s="2"/>
    </row>
    <row r="19" customFormat="false" ht="15" hidden="false" customHeight="true" outlineLevel="0" collapsed="false">
      <c r="A19" s="26" t="s">
        <v>45</v>
      </c>
      <c r="B19" s="31"/>
      <c r="C19" s="31"/>
      <c r="G19" s="2"/>
    </row>
    <row r="20" customFormat="false" ht="15" hidden="false" customHeight="true" outlineLevel="0" collapsed="false">
      <c r="A20" s="28" t="s">
        <v>46</v>
      </c>
      <c r="B20" s="36"/>
      <c r="C20" s="36"/>
      <c r="G20" s="2"/>
    </row>
    <row r="21" customFormat="false" ht="15" hidden="false" customHeight="true" outlineLevel="0" collapsed="false">
      <c r="A21" s="29" t="s">
        <v>47</v>
      </c>
      <c r="B21" s="31"/>
      <c r="C21" s="31"/>
      <c r="G21" s="2"/>
    </row>
    <row r="22" customFormat="false" ht="15" hidden="false" customHeight="true" outlineLevel="0" collapsed="false">
      <c r="A22" s="29" t="s">
        <v>48</v>
      </c>
      <c r="B22" s="37"/>
      <c r="C22" s="37"/>
      <c r="D22" s="32"/>
      <c r="G22" s="2"/>
    </row>
    <row r="23" customFormat="false" ht="15" hidden="false" customHeight="true" outlineLevel="0" collapsed="false">
      <c r="A23" s="19" t="s">
        <v>49</v>
      </c>
      <c r="B23" s="37"/>
      <c r="D23" s="32"/>
      <c r="E23" s="32"/>
      <c r="G23" s="2"/>
    </row>
    <row r="24" customFormat="false" ht="15" hidden="false" customHeight="true" outlineLevel="0" collapsed="false">
      <c r="A24" s="28" t="s">
        <v>28</v>
      </c>
      <c r="B24" s="38"/>
      <c r="C24" s="38"/>
    </row>
    <row r="25" customFormat="false" ht="15" hidden="false" customHeight="true" outlineLevel="0" collapsed="false">
      <c r="A25" s="28" t="s">
        <v>50</v>
      </c>
    </row>
    <row r="26" s="1" customFormat="true" ht="15" hidden="false" customHeight="true" outlineLevel="0" collapsed="false">
      <c r="A26" s="2" t="s">
        <v>51</v>
      </c>
      <c r="B26" s="20"/>
      <c r="C26" s="20"/>
    </row>
    <row r="27" customFormat="false" ht="15" hidden="false" customHeight="true" outlineLevel="0" collapsed="false">
      <c r="A27" s="28" t="s">
        <v>52</v>
      </c>
    </row>
    <row r="28" s="1" customFormat="true" ht="15" hidden="false" customHeight="true" outlineLevel="0" collapsed="false">
      <c r="A28" s="2" t="s">
        <v>53</v>
      </c>
      <c r="B28" s="20"/>
      <c r="C28" s="20"/>
    </row>
    <row r="29" s="1" customFormat="true" ht="15" hidden="false" customHeight="true" outlineLevel="0" collapsed="false">
      <c r="A29" s="2" t="s">
        <v>54</v>
      </c>
      <c r="B29" s="20"/>
      <c r="C29" s="20"/>
    </row>
    <row r="30" customFormat="false" ht="15" hidden="false" customHeight="true" outlineLevel="0" collapsed="false">
      <c r="A30" s="28" t="s">
        <v>27</v>
      </c>
      <c r="B30" s="39" t="n">
        <f aca="false">SUM(B25:B29)</f>
        <v>0</v>
      </c>
      <c r="C30" s="39" t="n">
        <f aca="false">SUM(C25:C29)</f>
        <v>0</v>
      </c>
    </row>
    <row r="31" customFormat="false" ht="15" hidden="false" customHeight="true" outlineLevel="0" collapsed="false">
      <c r="A31" s="26" t="s">
        <v>55</v>
      </c>
      <c r="B31" s="35" t="n">
        <f aca="false">B30+B24</f>
        <v>0</v>
      </c>
      <c r="C31" s="35" t="n">
        <f aca="false">C30+C24</f>
        <v>0</v>
      </c>
      <c r="E31" s="32"/>
    </row>
    <row r="33" customFormat="false" ht="15" hidden="false" customHeight="true" outlineLevel="0" collapsed="false">
      <c r="B33" s="20" t="n">
        <f aca="false">B31-B17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8.78125" defaultRowHeight="15" zeroHeight="false" outlineLevelRow="0" outlineLevelCol="0"/>
  <cols>
    <col collapsed="false" customWidth="true" hidden="false" outlineLevel="0" max="1" min="1" style="19" width="40.78"/>
    <col collapsed="false" customWidth="true" hidden="false" outlineLevel="0" max="3" min="2" style="20" width="17.77"/>
    <col collapsed="false" customWidth="false" hidden="false" outlineLevel="0" max="1024" min="4" style="19" width="8.78"/>
  </cols>
  <sheetData>
    <row r="1" customFormat="false" ht="15" hidden="false" customHeight="true" outlineLevel="0" collapsed="false">
      <c r="A1" s="21" t="n">
        <f aca="false">+'Client Details'!B4</f>
        <v>0</v>
      </c>
      <c r="B1" s="22"/>
    </row>
    <row r="2" customFormat="false" ht="15" hidden="false" customHeight="true" outlineLevel="0" collapsed="false">
      <c r="A2" s="23" t="s">
        <v>56</v>
      </c>
    </row>
    <row r="3" customFormat="false" ht="15" hidden="false" customHeight="true" outlineLevel="0" collapsed="false">
      <c r="A3" s="23"/>
    </row>
    <row r="4" customFormat="false" ht="15" hidden="false" customHeight="true" outlineLevel="0" collapsed="false">
      <c r="A4" s="21" t="str">
        <f aca="false">"For the year ended " &amp; TEXT('Client Details'!B6,"DD mmmm YYYY")</f>
        <v>For the year ended 30 December 1899</v>
      </c>
    </row>
    <row r="6" customFormat="false" ht="19.5" hidden="false" customHeight="true" outlineLevel="0" collapsed="false">
      <c r="A6" s="24"/>
      <c r="B6" s="25" t="str">
        <f aca="false">TEXT('Client Details'!B6,"YYYY")</f>
        <v>1899</v>
      </c>
      <c r="C6" s="25" t="n">
        <f aca="false">B6-1</f>
        <v>1898</v>
      </c>
    </row>
    <row r="8" customFormat="false" ht="15" hidden="false" customHeight="true" outlineLevel="0" collapsed="false">
      <c r="A8" s="26" t="s">
        <v>57</v>
      </c>
      <c r="B8" s="27"/>
      <c r="C8" s="27"/>
    </row>
    <row r="9" customFormat="false" ht="15" hidden="false" customHeight="true" outlineLevel="0" collapsed="false">
      <c r="A9" s="26" t="s">
        <v>58</v>
      </c>
      <c r="B9" s="27"/>
      <c r="C9" s="27"/>
    </row>
    <row r="10" customFormat="false" ht="15" hidden="false" customHeight="true" outlineLevel="0" collapsed="false">
      <c r="A10" s="29"/>
      <c r="B10" s="27"/>
      <c r="C10" s="27"/>
    </row>
    <row r="11" customFormat="false" ht="15" hidden="false" customHeight="true" outlineLevel="0" collapsed="false">
      <c r="A11" s="26" t="s">
        <v>59</v>
      </c>
      <c r="B11" s="27"/>
      <c r="C11" s="27"/>
    </row>
    <row r="12" customFormat="false" ht="15" hidden="false" customHeight="true" outlineLevel="0" collapsed="false">
      <c r="A12" s="26"/>
      <c r="B12" s="27"/>
      <c r="C12" s="27"/>
    </row>
    <row r="13" customFormat="false" ht="15" hidden="false" customHeight="true" outlineLevel="0" collapsed="false">
      <c r="A13" s="26" t="s">
        <v>60</v>
      </c>
      <c r="B13" s="30" t="n">
        <f aca="false">SUM(B9:B11)</f>
        <v>0</v>
      </c>
      <c r="C13" s="30" t="n">
        <f aca="false">SUM(C9:C11)</f>
        <v>0</v>
      </c>
      <c r="D13" s="19" t="e">
        <f aca="false">B13/(B9+B8)</f>
        <v>#DIV/0!</v>
      </c>
      <c r="E13" s="19" t="e">
        <f aca="false">C13/(C9+C8)</f>
        <v>#DIV/0!</v>
      </c>
    </row>
    <row r="15" customFormat="false" ht="15" hidden="false" customHeight="true" outlineLevel="0" collapsed="false">
      <c r="A15" s="21" t="s">
        <v>61</v>
      </c>
    </row>
    <row r="16" customFormat="false" ht="15" hidden="false" customHeight="true" outlineLevel="0" collapsed="false">
      <c r="A16" s="40" t="s">
        <v>62</v>
      </c>
    </row>
    <row r="17" customFormat="false" ht="15" hidden="false" customHeight="true" outlineLevel="0" collapsed="false">
      <c r="A17" s="40" t="s">
        <v>63</v>
      </c>
    </row>
    <row r="18" customFormat="false" ht="15" hidden="false" customHeight="true" outlineLevel="0" collapsed="false">
      <c r="A18" s="40" t="s">
        <v>64</v>
      </c>
    </row>
    <row r="19" customFormat="false" ht="15" hidden="false" customHeight="true" outlineLevel="0" collapsed="false">
      <c r="A19" s="40" t="s">
        <v>65</v>
      </c>
    </row>
    <row r="20" customFormat="false" ht="15" hidden="false" customHeight="true" outlineLevel="0" collapsed="false">
      <c r="A20" s="40"/>
    </row>
    <row r="21" customFormat="false" ht="15" hidden="false" customHeight="true" outlineLevel="0" collapsed="false">
      <c r="A21" s="40"/>
    </row>
    <row r="22" customFormat="false" ht="15" hidden="false" customHeight="true" outlineLevel="0" collapsed="false">
      <c r="A22" s="40"/>
    </row>
    <row r="23" customFormat="false" ht="15" hidden="false" customHeight="true" outlineLevel="0" collapsed="false">
      <c r="A23" s="40"/>
    </row>
    <row r="24" customFormat="false" ht="15" hidden="false" customHeight="true" outlineLevel="0" collapsed="false">
      <c r="A24" s="40" t="s">
        <v>66</v>
      </c>
    </row>
    <row r="25" customFormat="false" ht="15" hidden="false" customHeight="true" outlineLevel="0" collapsed="false">
      <c r="A25" s="40" t="s">
        <v>67</v>
      </c>
    </row>
    <row r="26" customFormat="false" ht="15" hidden="false" customHeight="true" outlineLevel="0" collapsed="false">
      <c r="A26" s="40"/>
    </row>
    <row r="27" customFormat="false" ht="15" hidden="false" customHeight="true" outlineLevel="0" collapsed="false">
      <c r="A27" s="21" t="s">
        <v>68</v>
      </c>
      <c r="B27" s="20" t="n">
        <f aca="false">SUM(B16:B26)</f>
        <v>0</v>
      </c>
      <c r="C27" s="20" t="n">
        <f aca="false">SUM(C16:C26)</f>
        <v>0</v>
      </c>
    </row>
    <row r="29" customFormat="false" ht="15" hidden="false" customHeight="true" outlineLevel="0" collapsed="false">
      <c r="A29" s="19" t="s">
        <v>69</v>
      </c>
    </row>
    <row r="31" customFormat="false" ht="15" hidden="false" customHeight="true" outlineLevel="0" collapsed="false">
      <c r="A31" s="21" t="s">
        <v>70</v>
      </c>
      <c r="B31" s="41" t="n">
        <f aca="false">B13-B27+B29</f>
        <v>0</v>
      </c>
      <c r="C31" s="41" t="n">
        <f aca="false">C13-C27+C29</f>
        <v>0</v>
      </c>
    </row>
    <row r="35" customFormat="false" ht="15" hidden="false" customHeight="true" outlineLevel="0" collapsed="false">
      <c r="A35" s="23" t="s">
        <v>71</v>
      </c>
    </row>
    <row r="36" customFormat="false" ht="15" hidden="false" customHeight="true" outlineLevel="0" collapsed="false">
      <c r="A36" s="19" t="s">
        <v>72</v>
      </c>
      <c r="B36" s="42" t="n">
        <v>0.5</v>
      </c>
    </row>
    <row r="37" customFormat="false" ht="15" hidden="false" customHeight="true" outlineLevel="0" collapsed="false">
      <c r="A37" s="19" t="s">
        <v>73</v>
      </c>
      <c r="B37" s="4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23" activeCellId="0" sqref="A23"/>
    </sheetView>
  </sheetViews>
  <sheetFormatPr defaultColWidth="8.78125" defaultRowHeight="15" zeroHeight="false" outlineLevelRow="0" outlineLevelCol="0"/>
  <cols>
    <col collapsed="false" customWidth="true" hidden="false" outlineLevel="0" max="1" min="1" style="19" width="46.22"/>
    <col collapsed="false" customWidth="true" hidden="false" outlineLevel="0" max="6" min="2" style="43" width="17.77"/>
    <col collapsed="false" customWidth="false" hidden="false" outlineLevel="0" max="1024" min="7" style="19" width="8.78"/>
  </cols>
  <sheetData>
    <row r="1" customFormat="false" ht="15" hidden="false" customHeight="true" outlineLevel="0" collapsed="false">
      <c r="A1" s="21" t="n">
        <f aca="false">+'Client Details'!B4</f>
        <v>0</v>
      </c>
      <c r="B1" s="44"/>
    </row>
    <row r="2" customFormat="false" ht="15" hidden="false" customHeight="true" outlineLevel="0" collapsed="false">
      <c r="A2" s="23" t="s">
        <v>74</v>
      </c>
      <c r="B2" s="44"/>
    </row>
    <row r="3" customFormat="false" ht="15" hidden="false" customHeight="true" outlineLevel="0" collapsed="false">
      <c r="A3" s="23"/>
      <c r="B3" s="44"/>
    </row>
    <row r="4" customFormat="false" ht="15" hidden="false" customHeight="true" outlineLevel="0" collapsed="false">
      <c r="A4" s="21" t="str">
        <f aca="false">"For the year ended " &amp; TEXT('Client Details'!B6,"DD mmmm YYYY")</f>
        <v>For the year ended 30 December 1899</v>
      </c>
      <c r="B4" s="44"/>
    </row>
    <row r="6" customFormat="false" ht="30" hidden="false" customHeight="true" outlineLevel="0" collapsed="false">
      <c r="B6" s="45" t="s">
        <v>47</v>
      </c>
      <c r="C6" s="46" t="s">
        <v>75</v>
      </c>
      <c r="D6" s="46" t="s">
        <v>48</v>
      </c>
      <c r="E6" s="46" t="s">
        <v>76</v>
      </c>
      <c r="F6" s="46" t="s">
        <v>77</v>
      </c>
    </row>
    <row r="7" s="1" customFormat="true" ht="15" hidden="false" customHeight="true" outlineLevel="0" collapsed="false">
      <c r="A7" s="47" t="s">
        <v>78</v>
      </c>
      <c r="B7" s="48"/>
      <c r="C7" s="43"/>
      <c r="D7" s="43"/>
      <c r="E7" s="43"/>
      <c r="F7" s="43" t="n">
        <f aca="false">SUM(B7:E7)</f>
        <v>0</v>
      </c>
    </row>
    <row r="8" s="1" customFormat="true" ht="15" hidden="false" customHeight="true" outlineLevel="0" collapsed="false">
      <c r="A8" s="19" t="s">
        <v>79</v>
      </c>
      <c r="B8" s="43"/>
      <c r="C8" s="43"/>
      <c r="D8" s="43"/>
      <c r="E8" s="43"/>
      <c r="F8" s="43" t="n">
        <f aca="false">SUM(B8:E8)</f>
        <v>0</v>
      </c>
    </row>
    <row r="9" s="1" customFormat="true" ht="15" hidden="false" customHeight="true" outlineLevel="0" collapsed="false">
      <c r="A9" s="19" t="s">
        <v>80</v>
      </c>
      <c r="B9" s="43"/>
      <c r="C9" s="43"/>
      <c r="D9" s="43"/>
      <c r="E9" s="43"/>
      <c r="F9" s="43" t="n">
        <f aca="false">SUM(B9:E9)</f>
        <v>0</v>
      </c>
    </row>
    <row r="10" s="1" customFormat="true" ht="15" hidden="false" customHeight="true" outlineLevel="0" collapsed="false">
      <c r="A10" s="19" t="s">
        <v>81</v>
      </c>
      <c r="B10" s="43"/>
      <c r="C10" s="43"/>
      <c r="D10" s="43"/>
      <c r="E10" s="43"/>
      <c r="F10" s="43" t="n">
        <f aca="false">SUM(B10:E10)</f>
        <v>0</v>
      </c>
    </row>
    <row r="11" s="1" customFormat="true" ht="15" hidden="false" customHeight="true" outlineLevel="0" collapsed="false">
      <c r="A11" s="19" t="s">
        <v>82</v>
      </c>
      <c r="B11" s="43"/>
      <c r="C11" s="43"/>
      <c r="D11" s="43"/>
      <c r="E11" s="43"/>
      <c r="F11" s="43" t="n">
        <f aca="false">SUM(B11:E11)</f>
        <v>0</v>
      </c>
    </row>
    <row r="12" s="1" customFormat="true" ht="15" hidden="false" customHeight="true" outlineLevel="0" collapsed="false">
      <c r="A12" s="21" t="str">
        <f aca="false">"Balance as at " &amp; TEXT('Client Details'!B5,"DD mmmm YYYY")</f>
        <v>Balance as at 30 December 1899</v>
      </c>
      <c r="B12" s="49" t="n">
        <f aca="false">SUM(B7:B11)</f>
        <v>0</v>
      </c>
      <c r="C12" s="49" t="n">
        <f aca="false">SUM(C7:C11)</f>
        <v>0</v>
      </c>
      <c r="D12" s="49" t="n">
        <f aca="false">SUM(D7:D11)</f>
        <v>0</v>
      </c>
      <c r="E12" s="49" t="n">
        <f aca="false">SUM(E7:E11)</f>
        <v>0</v>
      </c>
      <c r="F12" s="49" t="n">
        <f aca="false">SUM(F7:F11)</f>
        <v>0</v>
      </c>
    </row>
    <row r="13" s="1" customFormat="true" ht="15" hidden="false" customHeight="true" outlineLevel="0" collapsed="false">
      <c r="A13" s="19" t="s">
        <v>79</v>
      </c>
      <c r="B13" s="43"/>
      <c r="C13" s="43"/>
      <c r="D13" s="43"/>
      <c r="E13" s="43"/>
      <c r="F13" s="43" t="n">
        <f aca="false">SUM(B13:E13)</f>
        <v>0</v>
      </c>
    </row>
    <row r="14" s="1" customFormat="true" ht="15" hidden="false" customHeight="true" outlineLevel="0" collapsed="false">
      <c r="A14" s="19" t="s">
        <v>80</v>
      </c>
      <c r="B14" s="43"/>
      <c r="C14" s="43"/>
      <c r="D14" s="43"/>
      <c r="E14" s="43"/>
      <c r="F14" s="43" t="n">
        <f aca="false">SUM(B14:E14)</f>
        <v>0</v>
      </c>
    </row>
    <row r="15" s="1" customFormat="true" ht="15" hidden="false" customHeight="true" outlineLevel="0" collapsed="false">
      <c r="A15" s="19" t="s">
        <v>81</v>
      </c>
      <c r="B15" s="43"/>
      <c r="C15" s="43"/>
      <c r="D15" s="43"/>
      <c r="E15" s="43"/>
      <c r="F15" s="43" t="n">
        <f aca="false">SUM(B15:E15)</f>
        <v>0</v>
      </c>
    </row>
    <row r="16" s="1" customFormat="true" ht="15" hidden="false" customHeight="true" outlineLevel="0" collapsed="false">
      <c r="A16" s="19" t="s">
        <v>82</v>
      </c>
      <c r="B16" s="43"/>
      <c r="C16" s="43"/>
      <c r="D16" s="43"/>
      <c r="E16" s="43"/>
      <c r="F16" s="43" t="n">
        <f aca="false">SUM(B16:E16)</f>
        <v>0</v>
      </c>
    </row>
    <row r="17" customFormat="false" ht="15" hidden="false" customHeight="true" outlineLevel="0" collapsed="false">
      <c r="A17" s="21" t="str">
        <f aca="false">"Balance as at " &amp; TEXT('Client Details'!B6,"DD mmmm YYYY")</f>
        <v>Balance as at 30 December 1899</v>
      </c>
      <c r="B17" s="50" t="n">
        <f aca="false">SUM(B12:B16)</f>
        <v>0</v>
      </c>
      <c r="C17" s="50" t="n">
        <f aca="false">SUM(C12:C16)</f>
        <v>0</v>
      </c>
      <c r="D17" s="50" t="n">
        <f aca="false">SUM(D12:D16)</f>
        <v>0</v>
      </c>
      <c r="E17" s="50" t="n">
        <f aca="false">SUM(E12:E16)</f>
        <v>0</v>
      </c>
      <c r="F17" s="50" t="n">
        <f aca="false">SUM(F12:F16)</f>
        <v>0</v>
      </c>
    </row>
    <row r="22" customFormat="false" ht="15" hidden="false" customHeight="true" outlineLevel="0" collapsed="false">
      <c r="A22" s="23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78125" defaultRowHeight="15" zeroHeight="false" outlineLevelRow="0" outlineLevelCol="0"/>
  <cols>
    <col collapsed="false" customWidth="true" hidden="false" outlineLevel="0" max="1" min="1" style="19" width="60.78"/>
    <col collapsed="false" customWidth="true" hidden="false" outlineLevel="0" max="3" min="2" style="20" width="17.77"/>
    <col collapsed="false" customWidth="false" hidden="false" outlineLevel="0" max="1024" min="4" style="19" width="8.78"/>
  </cols>
  <sheetData>
    <row r="1" customFormat="false" ht="15" hidden="false" customHeight="true" outlineLevel="0" collapsed="false">
      <c r="A1" s="21" t="n">
        <f aca="false">+'Client Details'!B4</f>
        <v>0</v>
      </c>
      <c r="B1" s="22"/>
    </row>
    <row r="2" customFormat="false" ht="15" hidden="false" customHeight="true" outlineLevel="0" collapsed="false">
      <c r="A2" s="23" t="s">
        <v>84</v>
      </c>
    </row>
    <row r="3" customFormat="false" ht="15" hidden="false" customHeight="true" outlineLevel="0" collapsed="false">
      <c r="A3" s="23"/>
    </row>
    <row r="4" customFormat="false" ht="15" hidden="false" customHeight="true" outlineLevel="0" collapsed="false">
      <c r="A4" s="21" t="str">
        <f aca="false">"For the year ended " &amp; TEXT('Client Details'!B6,"DD mmmm YYYY")</f>
        <v>For the year ended 30 December 1899</v>
      </c>
    </row>
    <row r="6" customFormat="false" ht="19.5" hidden="false" customHeight="true" outlineLevel="0" collapsed="false">
      <c r="A6" s="24"/>
      <c r="B6" s="25" t="str">
        <f aca="false">TEXT('Client Details'!B6,"YYYY")</f>
        <v>1899</v>
      </c>
      <c r="C6" s="25" t="n">
        <f aca="false">B6-1</f>
        <v>1898</v>
      </c>
    </row>
    <row r="8" customFormat="false" ht="15" hidden="false" customHeight="true" outlineLevel="0" collapsed="false">
      <c r="A8" s="21" t="s">
        <v>85</v>
      </c>
    </row>
    <row r="9" customFormat="false" ht="15" hidden="false" customHeight="true" outlineLevel="0" collapsed="false">
      <c r="A9" s="19" t="s">
        <v>86</v>
      </c>
      <c r="B9" s="20" t="n">
        <f aca="false">SoCI!B31</f>
        <v>0</v>
      </c>
    </row>
    <row r="10" customFormat="false" ht="15" hidden="false" customHeight="true" outlineLevel="0" collapsed="false">
      <c r="A10" s="51" t="s">
        <v>87</v>
      </c>
      <c r="B10" s="20" t="n">
        <f aca="false">B9</f>
        <v>0</v>
      </c>
      <c r="C10" s="20" t="n">
        <f aca="false">C9</f>
        <v>0</v>
      </c>
    </row>
    <row r="11" customFormat="false" ht="15" hidden="false" customHeight="true" outlineLevel="0" collapsed="false">
      <c r="A11" s="21" t="s">
        <v>88</v>
      </c>
    </row>
    <row r="12" customFormat="false" ht="15" hidden="false" customHeight="true" outlineLevel="0" collapsed="false">
      <c r="A12" s="19" t="s">
        <v>89</v>
      </c>
    </row>
    <row r="13" customFormat="false" ht="15" hidden="false" customHeight="true" outlineLevel="0" collapsed="false">
      <c r="A13" s="19" t="s">
        <v>90</v>
      </c>
    </row>
    <row r="14" customFormat="false" ht="15" hidden="false" customHeight="true" outlineLevel="0" collapsed="false">
      <c r="A14" s="21" t="s">
        <v>91</v>
      </c>
      <c r="B14" s="52" t="n">
        <f aca="false">SUM(B10:B13)</f>
        <v>0</v>
      </c>
      <c r="C14" s="52" t="n">
        <f aca="false">SUM(C10:C13)</f>
        <v>0</v>
      </c>
    </row>
    <row r="15" customFormat="false" ht="15" hidden="false" customHeight="true" outlineLevel="0" collapsed="false">
      <c r="A15" s="21" t="s">
        <v>92</v>
      </c>
    </row>
    <row r="16" customFormat="false" ht="15" hidden="false" customHeight="true" outlineLevel="0" collapsed="false">
      <c r="A16" s="19" t="s">
        <v>36</v>
      </c>
    </row>
    <row r="17" customFormat="false" ht="15" hidden="false" customHeight="true" outlineLevel="0" collapsed="false">
      <c r="A17" s="21" t="s">
        <v>93</v>
      </c>
      <c r="B17" s="52" t="n">
        <f aca="false">SUM(B15:B16)</f>
        <v>0</v>
      </c>
      <c r="C17" s="52" t="n">
        <f aca="false">SUM(C15:C16)</f>
        <v>0</v>
      </c>
    </row>
    <row r="18" customFormat="false" ht="15" hidden="false" customHeight="true" outlineLevel="0" collapsed="false">
      <c r="A18" s="21" t="s">
        <v>94</v>
      </c>
    </row>
    <row r="19" customFormat="false" ht="15" hidden="false" customHeight="true" outlineLevel="0" collapsed="false">
      <c r="A19" s="19" t="s">
        <v>79</v>
      </c>
    </row>
    <row r="20" customFormat="false" ht="15" hidden="false" customHeight="true" outlineLevel="0" collapsed="false">
      <c r="A20" s="19" t="s">
        <v>49</v>
      </c>
    </row>
    <row r="21" customFormat="false" ht="15" hidden="false" customHeight="true" outlineLevel="0" collapsed="false">
      <c r="A21" s="21" t="s">
        <v>95</v>
      </c>
      <c r="B21" s="52" t="n">
        <f aca="false">SUM(B18:B20)</f>
        <v>0</v>
      </c>
      <c r="C21" s="52" t="n">
        <f aca="false">SUM(C18:C20)</f>
        <v>0</v>
      </c>
    </row>
    <row r="22" customFormat="false" ht="15" hidden="false" customHeight="true" outlineLevel="0" collapsed="false">
      <c r="A22" s="21" t="s">
        <v>96</v>
      </c>
      <c r="B22" s="20" t="n">
        <f aca="false">B21+B17+B14</f>
        <v>0</v>
      </c>
      <c r="C22" s="20" t="n">
        <f aca="false">C21+C17+C14</f>
        <v>0</v>
      </c>
    </row>
    <row r="23" customFormat="false" ht="15" hidden="false" customHeight="true" outlineLevel="0" collapsed="false">
      <c r="A23" s="19" t="s">
        <v>97</v>
      </c>
      <c r="B23" s="20" t="n">
        <f aca="false">C24</f>
        <v>0</v>
      </c>
    </row>
    <row r="24" customFormat="false" ht="15" hidden="false" customHeight="true" outlineLevel="0" collapsed="false">
      <c r="A24" s="21" t="s">
        <v>98</v>
      </c>
      <c r="B24" s="41" t="n">
        <f aca="false">SUM(B22:B23)</f>
        <v>0</v>
      </c>
      <c r="C24" s="41" t="n">
        <f aca="false">SUM(C22:C23)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6" activeCellId="0" sqref="D16"/>
    </sheetView>
  </sheetViews>
  <sheetFormatPr defaultColWidth="8.78125" defaultRowHeight="15" zeroHeight="false" outlineLevelRow="0" outlineLevelCol="0"/>
  <cols>
    <col collapsed="false" customWidth="true" hidden="false" outlineLevel="0" max="1" min="1" style="53" width="45.44"/>
    <col collapsed="false" customWidth="true" hidden="false" outlineLevel="0" max="3" min="2" style="53" width="17.77"/>
    <col collapsed="false" customWidth="true" hidden="false" outlineLevel="0" max="6" min="4" style="43" width="17.77"/>
    <col collapsed="false" customWidth="false" hidden="false" outlineLevel="0" max="1024" min="7" style="53" width="8.78"/>
  </cols>
  <sheetData>
    <row r="1" customFormat="false" ht="15" hidden="false" customHeight="true" outlineLevel="0" collapsed="false">
      <c r="A1" s="54" t="n">
        <f aca="false">+'Client Details'!B4</f>
        <v>0</v>
      </c>
      <c r="B1" s="54"/>
    </row>
    <row r="2" customFormat="false" ht="15" hidden="false" customHeight="true" outlineLevel="0" collapsed="false">
      <c r="A2" s="55" t="s">
        <v>40</v>
      </c>
      <c r="B2" s="54"/>
    </row>
    <row r="3" customFormat="false" ht="15" hidden="false" customHeight="true" outlineLevel="0" collapsed="false">
      <c r="A3" s="55"/>
      <c r="B3" s="54"/>
    </row>
    <row r="4" customFormat="false" ht="15" hidden="false" customHeight="true" outlineLevel="0" collapsed="false">
      <c r="A4" s="54" t="str">
        <f aca="false">"For the year ended " &amp; TEXT('Client Details'!B6,"DD mmmm YYYY")</f>
        <v>For the year ended 30 December 1899</v>
      </c>
    </row>
    <row r="6" s="53" customFormat="true" ht="15" hidden="false" customHeight="true" outlineLevel="0" collapsed="false">
      <c r="A6" s="56" t="s">
        <v>99</v>
      </c>
      <c r="D6" s="43"/>
    </row>
    <row r="7" s="53" customFormat="true" ht="19.5" hidden="false" customHeight="true" outlineLevel="0" collapsed="false">
      <c r="A7" s="57" t="s">
        <v>100</v>
      </c>
      <c r="B7" s="57"/>
      <c r="D7" s="43"/>
    </row>
    <row r="8" customFormat="false" ht="15" hidden="false" customHeight="true" outlineLevel="0" collapsed="false">
      <c r="A8" s="58" t="s">
        <v>101</v>
      </c>
      <c r="B8" s="59" t="n">
        <f aca="false">F23</f>
        <v>0</v>
      </c>
      <c r="E8" s="53"/>
      <c r="F8" s="1"/>
      <c r="G8" s="1"/>
    </row>
    <row r="9" customFormat="false" ht="15" hidden="false" customHeight="true" outlineLevel="0" collapsed="false">
      <c r="A9" s="60" t="s">
        <v>102</v>
      </c>
      <c r="B9" s="61" t="n">
        <v>45695</v>
      </c>
      <c r="E9" s="62"/>
      <c r="F9" s="1"/>
      <c r="G9" s="1"/>
    </row>
    <row r="10" s="53" customFormat="true" ht="15" hidden="false" customHeight="true" outlineLevel="0" collapsed="false">
      <c r="A10" s="60" t="s">
        <v>103</v>
      </c>
      <c r="B10" s="61" t="n">
        <v>46059</v>
      </c>
      <c r="E10" s="62"/>
      <c r="F10" s="63"/>
      <c r="G10" s="1"/>
    </row>
    <row r="11" customFormat="false" ht="15" hidden="false" customHeight="true" outlineLevel="0" collapsed="false">
      <c r="A11" s="60" t="s">
        <v>104</v>
      </c>
      <c r="B11" s="64" t="n">
        <f aca="false">B10-B9+1</f>
        <v>365</v>
      </c>
      <c r="E11" s="53"/>
      <c r="F11" s="1"/>
      <c r="G11" s="1"/>
    </row>
    <row r="12" customFormat="false" ht="15" hidden="false" customHeight="true" outlineLevel="0" collapsed="false">
      <c r="A12" s="60" t="s">
        <v>105</v>
      </c>
      <c r="B12" s="65" t="n">
        <f aca="false">B8/B11</f>
        <v>0</v>
      </c>
      <c r="E12" s="53"/>
      <c r="F12" s="1"/>
      <c r="G12" s="1"/>
    </row>
    <row r="13" customFormat="false" ht="15" hidden="false" customHeight="true" outlineLevel="0" collapsed="false">
      <c r="A13" s="60" t="s">
        <v>106</v>
      </c>
      <c r="B13" s="61" t="n">
        <f aca="false">'Client Details'!B6</f>
        <v>0</v>
      </c>
      <c r="E13" s="53"/>
      <c r="F13" s="1"/>
      <c r="G13" s="1"/>
    </row>
    <row r="14" customFormat="false" ht="15" hidden="false" customHeight="true" outlineLevel="0" collapsed="false">
      <c r="A14" s="60" t="s">
        <v>107</v>
      </c>
      <c r="B14" s="66" t="n">
        <f aca="false">B13-B9+1</f>
        <v>-45694</v>
      </c>
      <c r="E14" s="53"/>
      <c r="F14" s="1"/>
      <c r="G14" s="1"/>
    </row>
    <row r="15" customFormat="false" ht="15" hidden="false" customHeight="true" outlineLevel="0" collapsed="false">
      <c r="A15" s="60" t="s">
        <v>108</v>
      </c>
      <c r="B15" s="66" t="n">
        <f aca="false">B12*B14</f>
        <v>-0</v>
      </c>
      <c r="E15" s="53"/>
      <c r="F15" s="1"/>
      <c r="G15" s="1"/>
    </row>
    <row r="16" customFormat="false" ht="15" hidden="false" customHeight="true" outlineLevel="0" collapsed="false">
      <c r="A16" s="67" t="s">
        <v>109</v>
      </c>
      <c r="B16" s="68" t="n">
        <f aca="false">B8-B15</f>
        <v>0</v>
      </c>
      <c r="E16" s="53"/>
      <c r="F16" s="1"/>
      <c r="G16" s="1"/>
    </row>
    <row r="17" customFormat="false" ht="15" hidden="false" customHeight="true" outlineLevel="0" collapsed="false">
      <c r="H17" s="1"/>
      <c r="I17" s="1"/>
    </row>
    <row r="18" customFormat="false" ht="15" hidden="false" customHeight="true" outlineLevel="0" collapsed="false">
      <c r="A18" s="56" t="s">
        <v>110</v>
      </c>
      <c r="H18" s="1"/>
      <c r="I18" s="1"/>
    </row>
    <row r="19" customFormat="false" ht="15" hidden="false" customHeight="true" outlineLevel="0" collapsed="false">
      <c r="A19" s="57" t="s">
        <v>111</v>
      </c>
      <c r="B19" s="57" t="s">
        <v>21</v>
      </c>
      <c r="C19" s="57" t="s">
        <v>112</v>
      </c>
      <c r="D19" s="57" t="s">
        <v>113</v>
      </c>
      <c r="E19" s="57" t="s">
        <v>114</v>
      </c>
      <c r="F19" s="57" t="s">
        <v>115</v>
      </c>
    </row>
    <row r="20" customFormat="false" ht="15" hidden="false" customHeight="true" outlineLevel="0" collapsed="false">
      <c r="A20" s="1"/>
      <c r="B20" s="69"/>
      <c r="C20" s="1"/>
      <c r="F20" s="70"/>
      <c r="G20" s="71" t="e">
        <f aca="false">E22+E23+E24+E25</f>
        <v>#VALUE!</v>
      </c>
    </row>
    <row r="21" customFormat="false" ht="15" hidden="false" customHeight="true" outlineLevel="0" collapsed="false">
      <c r="A21" s="1"/>
      <c r="B21" s="69"/>
      <c r="C21" s="1"/>
      <c r="F21" s="70"/>
      <c r="G21" s="71" t="n">
        <f aca="false">E23+E24+E25+E26</f>
        <v>0</v>
      </c>
    </row>
    <row r="22" customFormat="false" ht="15" hidden="false" customHeight="true" outlineLevel="0" collapsed="false">
      <c r="A22" s="57" t="s">
        <v>21</v>
      </c>
      <c r="B22" s="57" t="s">
        <v>116</v>
      </c>
      <c r="C22" s="57" t="s">
        <v>117</v>
      </c>
      <c r="D22" s="57" t="s">
        <v>118</v>
      </c>
      <c r="E22" s="57" t="s">
        <v>119</v>
      </c>
      <c r="F22" s="57" t="s">
        <v>120</v>
      </c>
      <c r="G22" s="71"/>
    </row>
    <row r="23" customFormat="false" ht="15" hidden="false" customHeight="true" outlineLevel="0" collapsed="false">
      <c r="A23" s="72"/>
      <c r="B23" s="73" t="n">
        <v>1</v>
      </c>
      <c r="C23" s="74"/>
      <c r="E23" s="70"/>
      <c r="F23" s="70"/>
      <c r="G23" s="71"/>
    </row>
    <row r="24" customFormat="false" ht="15" hidden="false" customHeight="true" outlineLevel="0" collapsed="false">
      <c r="A24" s="72"/>
      <c r="B24" s="73"/>
      <c r="C24" s="74"/>
      <c r="E24" s="70"/>
      <c r="F24" s="70"/>
      <c r="G24" s="71"/>
    </row>
    <row r="25" customFormat="false" ht="15" hidden="false" customHeight="true" outlineLevel="0" collapsed="false">
      <c r="A25" s="72"/>
      <c r="B25" s="75"/>
      <c r="C25" s="1"/>
      <c r="E25" s="70"/>
      <c r="F25" s="70"/>
      <c r="G25" s="71"/>
    </row>
    <row r="26" customFormat="false" ht="15" hidden="false" customHeight="true" outlineLevel="0" collapsed="false">
      <c r="A26" s="72"/>
      <c r="B26" s="73"/>
      <c r="C26" s="1"/>
      <c r="E26" s="70"/>
      <c r="F26" s="70"/>
      <c r="G26" s="71"/>
    </row>
    <row r="27" customFormat="false" ht="15" hidden="false" customHeight="true" outlineLevel="0" collapsed="false">
      <c r="A27" s="72"/>
      <c r="B27" s="69"/>
      <c r="C27" s="76"/>
      <c r="D27" s="70"/>
      <c r="E27" s="70"/>
      <c r="F27" s="70"/>
      <c r="G27" s="71"/>
    </row>
    <row r="28" customFormat="false" ht="15" hidden="false" customHeight="true" outlineLevel="0" collapsed="false">
      <c r="A28" s="72"/>
      <c r="B28" s="69"/>
      <c r="C28" s="76"/>
      <c r="D28" s="70"/>
      <c r="E28" s="70"/>
      <c r="F28" s="70"/>
      <c r="G28" s="71"/>
    </row>
    <row r="29" customFormat="false" ht="15" hidden="false" customHeight="true" outlineLevel="0" collapsed="false">
      <c r="A29" s="72"/>
      <c r="B29" s="77"/>
      <c r="C29" s="76"/>
      <c r="D29" s="70"/>
      <c r="E29" s="78"/>
      <c r="F29" s="70"/>
      <c r="G29" s="71"/>
    </row>
    <row r="30" customFormat="false" ht="15" hidden="false" customHeight="true" outlineLevel="0" collapsed="false">
      <c r="A30" s="72"/>
      <c r="B30" s="79"/>
      <c r="C30" s="76"/>
      <c r="D30" s="70"/>
      <c r="E30" s="78"/>
      <c r="F30" s="70"/>
      <c r="G30" s="71"/>
    </row>
    <row r="32" customFormat="false" ht="15" hidden="false" customHeight="true" outlineLevel="0" collapsed="false">
      <c r="H32" s="80"/>
    </row>
    <row r="33" customFormat="false" ht="15" hidden="false" customHeight="true" outlineLevel="0" collapsed="false">
      <c r="G33" s="56"/>
      <c r="H33" s="8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8.78125" defaultRowHeight="15" zeroHeight="false" outlineLevelRow="0" outlineLevelCol="0"/>
  <cols>
    <col collapsed="false" customWidth="true" hidden="false" outlineLevel="0" max="1" min="1" style="82" width="40.78"/>
    <col collapsed="false" customWidth="true" hidden="false" outlineLevel="0" max="3" min="2" style="83" width="17.77"/>
    <col collapsed="false" customWidth="false" hidden="false" outlineLevel="0" max="8" min="4" style="83" width="8.78"/>
  </cols>
  <sheetData>
    <row r="1" customFormat="false" ht="15" hidden="false" customHeight="true" outlineLevel="0" collapsed="false">
      <c r="A1" s="54" t="n">
        <f aca="false">+'Client Details'!B4</f>
        <v>0</v>
      </c>
    </row>
    <row r="2" customFormat="false" ht="15" hidden="false" customHeight="true" outlineLevel="0" collapsed="false">
      <c r="A2" s="55" t="s">
        <v>121</v>
      </c>
    </row>
    <row r="3" customFormat="false" ht="15" hidden="false" customHeight="true" outlineLevel="0" collapsed="false">
      <c r="A3" s="55"/>
    </row>
    <row r="4" customFormat="false" ht="15" hidden="false" customHeight="true" outlineLevel="0" collapsed="false">
      <c r="A4" s="54" t="str">
        <f aca="false">"For the year ended " &amp; TEXT('Client Details'!B6,"DD mmmm YYYY")</f>
        <v>For the year ended 30 December 1899</v>
      </c>
    </row>
    <row r="5" s="83" customFormat="true" ht="15" hidden="false" customHeight="true" outlineLevel="0" collapsed="false">
      <c r="A5" s="84"/>
      <c r="B5" s="85"/>
      <c r="C5" s="86"/>
    </row>
    <row r="6" s="83" customFormat="true" ht="19.5" hidden="false" customHeight="true" outlineLevel="0" collapsed="false">
      <c r="A6" s="10" t="s">
        <v>21</v>
      </c>
      <c r="B6" s="87" t="s">
        <v>122</v>
      </c>
      <c r="C6" s="87" t="s">
        <v>123</v>
      </c>
    </row>
    <row r="7" s="83" customFormat="true" ht="15" hidden="false" customHeight="true" outlineLevel="0" collapsed="false">
      <c r="A7" s="88"/>
      <c r="B7" s="89"/>
      <c r="C7" s="89"/>
    </row>
    <row r="8" s="83" customFormat="true" ht="15" hidden="false" customHeight="true" outlineLevel="0" collapsed="false">
      <c r="A8" s="88" t="s">
        <v>124</v>
      </c>
      <c r="B8" s="89"/>
    </row>
    <row r="9" s="83" customFormat="true" ht="15" hidden="false" customHeight="true" outlineLevel="0" collapsed="false">
      <c r="A9" s="88"/>
      <c r="B9" s="89"/>
      <c r="C9" s="89"/>
    </row>
    <row r="10" s="83" customFormat="true" ht="15" hidden="false" customHeight="true" outlineLevel="0" collapsed="false">
      <c r="A10" s="88" t="s">
        <v>125</v>
      </c>
      <c r="B10" s="89"/>
      <c r="C10" s="89"/>
    </row>
    <row r="11" s="83" customFormat="true" ht="15" hidden="false" customHeight="true" outlineLevel="0" collapsed="false">
      <c r="A11" s="88"/>
      <c r="B11" s="89"/>
      <c r="C11" s="89"/>
    </row>
    <row r="12" s="83" customFormat="true" ht="15" hidden="false" customHeight="true" outlineLevel="0" collapsed="false">
      <c r="A12" s="88" t="s">
        <v>126</v>
      </c>
      <c r="B12" s="89"/>
      <c r="C12" s="89"/>
    </row>
    <row r="13" s="83" customFormat="true" ht="15" hidden="false" customHeight="true" outlineLevel="0" collapsed="false">
      <c r="A13" s="88"/>
      <c r="B13" s="89"/>
      <c r="C13" s="89"/>
    </row>
    <row r="14" s="83" customFormat="true" ht="15" hidden="false" customHeight="true" outlineLevel="0" collapsed="false">
      <c r="A14" s="88" t="s">
        <v>127</v>
      </c>
      <c r="B14" s="89"/>
      <c r="C14" s="89"/>
    </row>
    <row r="15" s="83" customFormat="true" ht="15" hidden="false" customHeight="true" outlineLevel="0" collapsed="false">
      <c r="A15" s="88"/>
      <c r="B15" s="89"/>
    </row>
    <row r="16" s="83" customFormat="true" ht="15" hidden="false" customHeight="true" outlineLevel="0" collapsed="false">
      <c r="A16" s="88" t="s">
        <v>128</v>
      </c>
      <c r="B16" s="89"/>
      <c r="C16" s="89"/>
      <c r="D16" s="89"/>
    </row>
    <row r="17" s="83" customFormat="true" ht="15" hidden="false" customHeight="true" outlineLevel="0" collapsed="false">
      <c r="A17" s="88"/>
      <c r="B17" s="89"/>
      <c r="C17" s="89"/>
      <c r="D17" s="89"/>
    </row>
    <row r="18" s="83" customFormat="true" ht="15" hidden="false" customHeight="true" outlineLevel="0" collapsed="false">
      <c r="A18" s="88"/>
      <c r="B18" s="90" t="n">
        <f aca="false">SUM(B7:B17)</f>
        <v>0</v>
      </c>
      <c r="C18" s="90" t="n">
        <f aca="false">SUM(C7:C17)</f>
        <v>0</v>
      </c>
      <c r="D18" s="89" t="n">
        <f aca="false">B18-C18</f>
        <v>0</v>
      </c>
    </row>
    <row r="19" s="83" customFormat="true" ht="15" hidden="false" customHeight="true" outlineLevel="0" collapsed="false">
      <c r="A19" s="88"/>
      <c r="B19" s="89"/>
      <c r="C19" s="89"/>
      <c r="D19" s="89"/>
    </row>
    <row r="20" s="83" customFormat="true" ht="15" hidden="false" customHeight="true" outlineLevel="0" collapsed="false">
      <c r="A20" s="91" t="s">
        <v>129</v>
      </c>
      <c r="B20" s="89"/>
      <c r="C20" s="89"/>
      <c r="D20" s="89"/>
    </row>
    <row r="21" s="83" customFormat="true" ht="15" hidden="false" customHeight="true" outlineLevel="0" collapsed="false">
      <c r="A21" s="88"/>
      <c r="B21" s="89"/>
      <c r="C21" s="89"/>
      <c r="D21" s="89"/>
    </row>
    <row r="22" s="83" customFormat="true" ht="15" hidden="false" customHeight="true" outlineLevel="0" collapsed="false">
      <c r="A22" s="88" t="s">
        <v>130</v>
      </c>
      <c r="B22" s="89" t="n">
        <v>0</v>
      </c>
      <c r="C22" s="89" t="n">
        <f aca="false">SUM(B22)</f>
        <v>0</v>
      </c>
      <c r="D22" s="89"/>
    </row>
    <row r="23" s="83" customFormat="true" ht="15" hidden="false" customHeight="true" outlineLevel="0" collapsed="false">
      <c r="A23" s="88"/>
      <c r="B23" s="89"/>
      <c r="C23" s="89"/>
      <c r="D23" s="89"/>
    </row>
    <row r="24" s="83" customFormat="true" ht="15" hidden="false" customHeight="true" outlineLevel="0" collapsed="false">
      <c r="A24" s="88" t="s">
        <v>131</v>
      </c>
      <c r="B24" s="89" t="n">
        <v>0</v>
      </c>
      <c r="C24" s="89"/>
    </row>
    <row r="25" s="83" customFormat="true" ht="15" hidden="false" customHeight="true" outlineLevel="0" collapsed="false">
      <c r="A25" s="88"/>
      <c r="B25" s="89"/>
      <c r="C25" s="89"/>
    </row>
    <row r="26" s="83" customFormat="true" ht="15" hidden="false" customHeight="true" outlineLevel="0" collapsed="false">
      <c r="A26" s="91" t="s">
        <v>132</v>
      </c>
      <c r="B26" s="89" t="n">
        <v>0</v>
      </c>
      <c r="C26" s="89"/>
    </row>
    <row r="27" s="83" customFormat="true" ht="15" hidden="false" customHeight="true" outlineLevel="0" collapsed="false">
      <c r="A27" s="88"/>
      <c r="B27" s="89"/>
      <c r="C27" s="89" t="n">
        <f aca="false">SUM(B27)</f>
        <v>0</v>
      </c>
    </row>
    <row r="28" s="83" customFormat="true" ht="15" hidden="false" customHeight="true" outlineLevel="0" collapsed="false">
      <c r="A28" s="91" t="s">
        <v>133</v>
      </c>
      <c r="B28" s="89"/>
      <c r="C28" s="89"/>
    </row>
    <row r="29" s="83" customFormat="true" ht="15" hidden="false" customHeight="true" outlineLevel="0" collapsed="false">
      <c r="A29" s="88" t="s">
        <v>126</v>
      </c>
      <c r="B29" s="89" t="n">
        <v>0</v>
      </c>
    </row>
    <row r="30" s="83" customFormat="true" ht="15" hidden="false" customHeight="true" outlineLevel="0" collapsed="false">
      <c r="A30" s="88"/>
      <c r="B30" s="89"/>
      <c r="C30" s="89"/>
    </row>
    <row r="31" s="83" customFormat="true" ht="15" hidden="false" customHeight="true" outlineLevel="0" collapsed="false">
      <c r="A31" s="88"/>
      <c r="B31" s="89"/>
      <c r="C31" s="92" t="n">
        <f aca="false">SUM(C22:C29)</f>
        <v>0</v>
      </c>
    </row>
    <row r="32" s="83" customFormat="true" ht="15" hidden="false" customHeight="true" outlineLevel="0" collapsed="false">
      <c r="A32" s="88"/>
      <c r="B32" s="89"/>
      <c r="C32" s="89"/>
      <c r="D32" s="89"/>
      <c r="E32" s="89"/>
    </row>
    <row r="33" s="83" customFormat="true" ht="19.5" hidden="false" customHeight="true" outlineLevel="0" collapsed="false">
      <c r="A33" s="10" t="s">
        <v>134</v>
      </c>
    </row>
    <row r="34" s="83" customFormat="true" ht="15" hidden="false" customHeight="true" outlineLevel="0" collapsed="false">
      <c r="A34" s="89"/>
      <c r="B34" s="89"/>
      <c r="C34" s="89"/>
      <c r="D34" s="89"/>
      <c r="E34" s="89"/>
    </row>
    <row r="35" s="83" customFormat="true" ht="15" hidden="false" customHeight="true" outlineLevel="0" collapsed="false">
      <c r="A35" s="93" t="s">
        <v>135</v>
      </c>
      <c r="B35" s="93" t="s">
        <v>136</v>
      </c>
      <c r="C35" s="93" t="s">
        <v>137</v>
      </c>
      <c r="D35" s="93" t="s">
        <v>138</v>
      </c>
      <c r="E35" s="93" t="s">
        <v>139</v>
      </c>
    </row>
    <row r="36" s="83" customFormat="true" ht="15" hidden="false" customHeight="true" outlineLevel="0" collapsed="false">
      <c r="A36" s="89" t="n">
        <f aca="false">C10</f>
        <v>0</v>
      </c>
      <c r="B36" s="89" t="n">
        <f aca="false">B14</f>
        <v>0</v>
      </c>
      <c r="C36" s="89" t="n">
        <f aca="false">A36-B36</f>
        <v>0</v>
      </c>
      <c r="D36" s="89"/>
      <c r="E36" s="89" t="n">
        <f aca="false">C36</f>
        <v>0</v>
      </c>
    </row>
    <row r="37" s="83" customFormat="true" ht="15" hidden="false" customHeight="true" outlineLevel="0" collapsed="false">
      <c r="A37" s="92" t="n">
        <f aca="false">SUM(A36:A36)</f>
        <v>0</v>
      </c>
      <c r="B37" s="92" t="n">
        <f aca="false">SUM(B36:B36)</f>
        <v>0</v>
      </c>
      <c r="C37" s="89"/>
      <c r="D37" s="92" t="n">
        <f aca="false">SUM(E29:E36)</f>
        <v>0</v>
      </c>
      <c r="E37" s="92" t="n">
        <f aca="false">SUM(E36:E36)</f>
        <v>0</v>
      </c>
    </row>
    <row r="38" s="83" customFormat="true" ht="15" hidden="false" customHeight="true" outlineLevel="0" collapsed="false">
      <c r="A38" s="94"/>
      <c r="B38" s="89"/>
      <c r="C38" s="89"/>
      <c r="D38" s="89"/>
      <c r="E38" s="89"/>
    </row>
    <row r="40" s="83" customFormat="true" ht="15" hidden="false" customHeight="true" outlineLevel="0" collapsed="false">
      <c r="A40" s="95"/>
      <c r="B40" s="89"/>
      <c r="C40" s="89"/>
      <c r="D40" s="89"/>
      <c r="E40" s="89"/>
    </row>
    <row r="42" s="83" customFormat="true" ht="15" hidden="false" customHeight="true" outlineLevel="0" collapsed="false">
      <c r="A42" s="95"/>
      <c r="B42" s="89"/>
      <c r="C42" s="89"/>
      <c r="D42" s="89"/>
      <c r="E42" s="89"/>
    </row>
    <row r="44" s="83" customFormat="true" ht="15" hidden="false" customHeight="true" outlineLevel="0" collapsed="false">
      <c r="A44" s="95"/>
      <c r="B44" s="89"/>
      <c r="C44" s="89"/>
      <c r="D44" s="89"/>
      <c r="E44" s="8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78125" defaultRowHeight="15" zeroHeight="false" outlineLevelRow="0" outlineLevelCol="0"/>
  <cols>
    <col collapsed="false" customWidth="true" hidden="false" outlineLevel="0" max="1" min="1" style="1" width="40.78"/>
    <col collapsed="false" customWidth="true" hidden="false" outlineLevel="0" max="3" min="2" style="63" width="17.77"/>
    <col collapsed="false" customWidth="false" hidden="false" outlineLevel="0" max="1024" min="4" style="1" width="8.78"/>
  </cols>
  <sheetData>
    <row r="1" customFormat="false" ht="15" hidden="false" customHeight="true" outlineLevel="0" collapsed="false">
      <c r="A1" s="96" t="n">
        <f aca="false">+'Client Details'!B4</f>
        <v>0</v>
      </c>
      <c r="B1" s="97"/>
    </row>
    <row r="2" customFormat="false" ht="15" hidden="false" customHeight="true" outlineLevel="0" collapsed="false">
      <c r="A2" s="98" t="s">
        <v>140</v>
      </c>
      <c r="B2" s="97"/>
    </row>
    <row r="3" customFormat="false" ht="15" hidden="false" customHeight="true" outlineLevel="0" collapsed="false">
      <c r="A3" s="98"/>
      <c r="B3" s="97"/>
    </row>
    <row r="4" customFormat="false" ht="15" hidden="false" customHeight="true" outlineLevel="0" collapsed="false">
      <c r="A4" s="96" t="str">
        <f aca="false">"For the year ended " &amp; TEXT('Client Details'!B6,"DD mmmm YYYY")</f>
        <v>For the year ended 30 December 1899</v>
      </c>
    </row>
    <row r="5" customFormat="false" ht="15" hidden="false" customHeight="true" outlineLevel="0" collapsed="false">
      <c r="A5" s="96"/>
    </row>
    <row r="6" customFormat="false" ht="19.5" hidden="false" customHeight="true" outlineLevel="0" collapsed="false">
      <c r="A6" s="89"/>
      <c r="B6" s="99" t="s">
        <v>122</v>
      </c>
      <c r="C6" s="99" t="s">
        <v>123</v>
      </c>
    </row>
    <row r="7" customFormat="false" ht="15" hidden="false" customHeight="true" outlineLevel="0" collapsed="false">
      <c r="A7" s="88" t="s">
        <v>141</v>
      </c>
      <c r="B7" s="100"/>
    </row>
    <row r="8" customFormat="false" ht="15" hidden="false" customHeight="true" outlineLevel="0" collapsed="false">
      <c r="A8" s="88" t="str">
        <f aca="false">"Audit fees " &amp; TEXT('Client Details'!B6,"DD mmmm YYYY")</f>
        <v>Audit fees 30 December 1899</v>
      </c>
      <c r="B8" s="100"/>
    </row>
    <row r="9" customFormat="false" ht="15" hidden="false" customHeight="true" outlineLevel="0" collapsed="false">
      <c r="A9" s="88" t="s">
        <v>142</v>
      </c>
      <c r="B9" s="100"/>
    </row>
    <row r="10" customFormat="false" ht="15" hidden="false" customHeight="true" outlineLevel="0" collapsed="false">
      <c r="A10" s="89"/>
      <c r="B10" s="101" t="n">
        <f aca="false">SUM(B7:B9)</f>
        <v>0</v>
      </c>
      <c r="C10" s="101" t="n">
        <f aca="false">SUM(C7:C9)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78125" defaultRowHeight="15" zeroHeight="false" outlineLevelRow="0" outlineLevelCol="0"/>
  <cols>
    <col collapsed="false" customWidth="true" hidden="false" outlineLevel="0" max="4" min="1" style="102" width="40.78"/>
    <col collapsed="false" customWidth="false" hidden="false" outlineLevel="0" max="1024" min="5" style="102" width="8.78"/>
  </cols>
  <sheetData>
    <row r="1" customFormat="false" ht="15" hidden="false" customHeight="true" outlineLevel="0" collapsed="false">
      <c r="A1" s="54" t="n">
        <f aca="false">+'Client Details'!B4</f>
        <v>0</v>
      </c>
      <c r="B1" s="54"/>
      <c r="C1" s="54"/>
      <c r="D1" s="54"/>
    </row>
    <row r="2" customFormat="false" ht="15" hidden="false" customHeight="true" outlineLevel="0" collapsed="false">
      <c r="A2" s="55" t="s">
        <v>143</v>
      </c>
      <c r="B2" s="55"/>
      <c r="C2" s="55"/>
      <c r="D2" s="55"/>
    </row>
    <row r="3" customFormat="false" ht="15" hidden="false" customHeight="true" outlineLevel="0" collapsed="false">
      <c r="A3" s="55"/>
      <c r="B3" s="55"/>
      <c r="C3" s="55"/>
      <c r="D3" s="55"/>
    </row>
    <row r="4" customFormat="false" ht="15" hidden="false" customHeight="true" outlineLevel="0" collapsed="false">
      <c r="A4" s="54" t="str">
        <f aca="false">"As at " &amp; TEXT('Client Details'!B6,"DD mmmm YYYY")</f>
        <v>As at 30 December 1899</v>
      </c>
      <c r="B4" s="54"/>
      <c r="C4" s="54"/>
      <c r="D4" s="54"/>
    </row>
    <row r="6" customFormat="false" ht="19.5" hidden="false" customHeight="true" outlineLevel="0" collapsed="false">
      <c r="A6" s="87" t="s">
        <v>144</v>
      </c>
      <c r="B6" s="87" t="s">
        <v>145</v>
      </c>
      <c r="C6" s="87" t="s">
        <v>146</v>
      </c>
      <c r="D6" s="87" t="s">
        <v>147</v>
      </c>
      <c r="E6" s="54"/>
    </row>
    <row r="7" customFormat="false" ht="15" hidden="false" customHeight="true" outlineLevel="0" collapsed="false">
      <c r="D7" s="102" t="n">
        <f aca="false">B7*C7</f>
        <v>0</v>
      </c>
      <c r="E7" s="103"/>
    </row>
    <row r="8" customFormat="false" ht="15" hidden="false" customHeight="true" outlineLevel="0" collapsed="false">
      <c r="A8" s="54"/>
      <c r="B8" s="54"/>
      <c r="C8" s="54"/>
      <c r="D8" s="102" t="n">
        <f aca="false">B8*C8</f>
        <v>0</v>
      </c>
      <c r="E8" s="103"/>
    </row>
    <row r="9" customFormat="false" ht="15" hidden="false" customHeight="true" outlineLevel="0" collapsed="false">
      <c r="D9" s="102" t="n">
        <f aca="false">B9*C9</f>
        <v>0</v>
      </c>
      <c r="E9" s="103"/>
    </row>
    <row r="10" customFormat="false" ht="15" hidden="false" customHeight="true" outlineLevel="0" collapsed="false">
      <c r="D10" s="102" t="n">
        <f aca="false">B10*C10</f>
        <v>0</v>
      </c>
    </row>
    <row r="11" customFormat="false" ht="15" hidden="false" customHeight="true" outlineLevel="0" collapsed="false">
      <c r="B11" s="104" t="n">
        <f aca="false">SUM(B7:B10)</f>
        <v>0</v>
      </c>
      <c r="C11" s="104" t="n">
        <f aca="false">SUM(C7:C10)</f>
        <v>0</v>
      </c>
      <c r="D11" s="104" t="n">
        <f aca="false">SUM(D7:D10)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2025-05-06T12:52:12Z</dcterms:created>
  <dc:creator>TI Three</dc:creator>
  <dc:description/>
  <dc:language>en-US</dc:language>
  <cp:lastModifiedBy/>
  <cp:lastPrinted>2025-06-02T08:52:58Z</cp:lastPrinted>
  <dcterms:modified xsi:type="dcterms:W3CDTF">2026-03-06T09:15:24Z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